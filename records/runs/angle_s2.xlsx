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s\2025_Y4_S2\AMME5710\Major\records\runs\"/>
    </mc:Choice>
  </mc:AlternateContent>
  <xr:revisionPtr revIDLastSave="0" documentId="13_ncr:40009_{B9536BDE-C872-4D8F-9450-F0FE4AE9C485}" xr6:coauthVersionLast="36" xr6:coauthVersionMax="36" xr10:uidLastSave="{00000000-0000-0000-0000-000000000000}"/>
  <bookViews>
    <workbookView xWindow="0" yWindow="0" windowWidth="17256" windowHeight="5592"/>
  </bookViews>
  <sheets>
    <sheet name="angle_s2" sheetId="1" r:id="rId1"/>
  </sheets>
  <calcPr calcId="0"/>
</workbook>
</file>

<file path=xl/calcChain.xml><?xml version="1.0" encoding="utf-8"?>
<calcChain xmlns="http://schemas.openxmlformats.org/spreadsheetml/2006/main">
  <c r="L18" i="1" l="1"/>
  <c r="K18" i="1"/>
  <c r="J18" i="1"/>
  <c r="I18" i="1"/>
  <c r="H18" i="1"/>
  <c r="G18" i="1"/>
  <c r="F18" i="1"/>
  <c r="E18" i="1"/>
  <c r="D18" i="1"/>
  <c r="C18" i="1"/>
  <c r="B18" i="1"/>
  <c r="A18" i="1"/>
</calcChain>
</file>

<file path=xl/sharedStrings.xml><?xml version="1.0" encoding="utf-8"?>
<sst xmlns="http://schemas.openxmlformats.org/spreadsheetml/2006/main" count="199" uniqueCount="28">
  <si>
    <t>CNN_R1</t>
  </si>
  <si>
    <t>SVM_R1</t>
  </si>
  <si>
    <t>KNN_R1</t>
  </si>
  <si>
    <t>CNN_R2</t>
  </si>
  <si>
    <t>SVM_R2</t>
  </si>
  <si>
    <t>KNN_R2</t>
  </si>
  <si>
    <t>CNN_R3</t>
  </si>
  <si>
    <t>SVM_R3</t>
  </si>
  <si>
    <t>KNN_R3</t>
  </si>
  <si>
    <t>CNN_R4</t>
  </si>
  <si>
    <t>SVM_R4</t>
  </si>
  <si>
    <t>KNN_R4</t>
  </si>
  <si>
    <t>R</t>
  </si>
  <si>
    <t>B</t>
  </si>
  <si>
    <t>U</t>
  </si>
  <si>
    <t>L</t>
  </si>
  <si>
    <t>W</t>
  </si>
  <si>
    <t>V</t>
  </si>
  <si>
    <t>K</t>
  </si>
  <si>
    <t>F</t>
  </si>
  <si>
    <t>P</t>
  </si>
  <si>
    <t>B</t>
    <phoneticPr fontId="18" type="noConversion"/>
  </si>
  <si>
    <t>R</t>
    <phoneticPr fontId="18" type="noConversion"/>
  </si>
  <si>
    <t>U</t>
    <phoneticPr fontId="18" type="noConversion"/>
  </si>
  <si>
    <t>W</t>
    <phoneticPr fontId="18" type="noConversion"/>
  </si>
  <si>
    <t>CNN</t>
    <phoneticPr fontId="18" type="noConversion"/>
  </si>
  <si>
    <t>SVM</t>
    <phoneticPr fontId="18" type="noConversion"/>
  </si>
  <si>
    <t>KNN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</si>
</sst>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Times New Roman"/>
      <family val="2"/>
      <charset val="134"/>
    </font>
    <font>
      <sz val="11"/>
      <color theme="1"/>
      <name val="Times New Roman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Times New Roman"/>
      <family val="2"/>
      <charset val="134"/>
    </font>
    <font>
      <b/>
      <sz val="13"/>
      <color theme="3"/>
      <name val="Times New Roman"/>
      <family val="2"/>
      <charset val="134"/>
    </font>
    <font>
      <b/>
      <sz val="11"/>
      <color theme="3"/>
      <name val="Times New Roman"/>
      <family val="2"/>
      <charset val="134"/>
    </font>
    <font>
      <sz val="11"/>
      <color rgb="FF006100"/>
      <name val="Times New Roman"/>
      <family val="2"/>
      <charset val="134"/>
    </font>
    <font>
      <sz val="11"/>
      <color rgb="FF9C0006"/>
      <name val="Times New Roman"/>
      <family val="2"/>
      <charset val="134"/>
    </font>
    <font>
      <sz val="11"/>
      <color rgb="FF9C5700"/>
      <name val="Times New Roman"/>
      <family val="2"/>
      <charset val="134"/>
    </font>
    <font>
      <sz val="11"/>
      <color rgb="FF3F3F76"/>
      <name val="Times New Roman"/>
      <family val="2"/>
      <charset val="134"/>
    </font>
    <font>
      <b/>
      <sz val="11"/>
      <color rgb="FF3F3F3F"/>
      <name val="Times New Roman"/>
      <family val="2"/>
      <charset val="134"/>
    </font>
    <font>
      <b/>
      <sz val="11"/>
      <color rgb="FFFA7D00"/>
      <name val="Times New Roman"/>
      <family val="2"/>
      <charset val="134"/>
    </font>
    <font>
      <sz val="11"/>
      <color rgb="FFFA7D00"/>
      <name val="Times New Roman"/>
      <family val="2"/>
      <charset val="134"/>
    </font>
    <font>
      <b/>
      <sz val="11"/>
      <color theme="0"/>
      <name val="Times New Roman"/>
      <family val="2"/>
      <charset val="134"/>
    </font>
    <font>
      <sz val="11"/>
      <color rgb="FFFF0000"/>
      <name val="Times New Roman"/>
      <family val="2"/>
      <charset val="134"/>
    </font>
    <font>
      <i/>
      <sz val="11"/>
      <color rgb="FF7F7F7F"/>
      <name val="Times New Roman"/>
      <family val="2"/>
      <charset val="134"/>
    </font>
    <font>
      <b/>
      <sz val="11"/>
      <color theme="1"/>
      <name val="Times New Roman"/>
      <family val="2"/>
      <charset val="134"/>
    </font>
    <font>
      <sz val="11"/>
      <color theme="0"/>
      <name val="Times New Roman"/>
      <family val="2"/>
      <charset val="134"/>
    </font>
    <font>
      <sz val="9"/>
      <name val="Times New Roman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altLang="zh-CN"/>
              <a:t>Qualitification Analysis</a:t>
            </a:r>
            <a:r>
              <a:rPr lang="en-AU" altLang="zh-CN" baseline="0"/>
              <a:t> - Small Angle Left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532336778215225"/>
          <c:y val="0.17528132870030921"/>
          <c:w val="0.8660307988845144"/>
          <c:h val="0.621037046482550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angle_s2!$D$22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angle_s2!$C$23:$C$26</c:f>
              <c:strCache>
                <c:ptCount val="4"/>
                <c:pt idx="0">
                  <c:v>B</c:v>
                </c:pt>
                <c:pt idx="1">
                  <c:v>R</c:v>
                </c:pt>
                <c:pt idx="2">
                  <c:v>U</c:v>
                </c:pt>
                <c:pt idx="3">
                  <c:v>W</c:v>
                </c:pt>
              </c:strCache>
            </c:strRef>
          </c:cat>
          <c:val>
            <c:numRef>
              <c:f>angle_s2!$D$23:$D$26</c:f>
              <c:numCache>
                <c:formatCode>General</c:formatCode>
                <c:ptCount val="4"/>
                <c:pt idx="0">
                  <c:v>0.13333333333333333</c:v>
                </c:pt>
                <c:pt idx="1">
                  <c:v>1</c:v>
                </c:pt>
                <c:pt idx="2">
                  <c:v>0.8</c:v>
                </c:pt>
                <c:pt idx="3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1-4E63-987A-C607A9BD7843}"/>
            </c:ext>
          </c:extLst>
        </c:ser>
        <c:ser>
          <c:idx val="1"/>
          <c:order val="1"/>
          <c:tx>
            <c:strRef>
              <c:f>angle_s2!$E$22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angle_s2!$C$23:$C$26</c:f>
              <c:strCache>
                <c:ptCount val="4"/>
                <c:pt idx="0">
                  <c:v>B</c:v>
                </c:pt>
                <c:pt idx="1">
                  <c:v>R</c:v>
                </c:pt>
                <c:pt idx="2">
                  <c:v>U</c:v>
                </c:pt>
                <c:pt idx="3">
                  <c:v>W</c:v>
                </c:pt>
              </c:strCache>
            </c:strRef>
          </c:cat>
          <c:val>
            <c:numRef>
              <c:f>angle_s2!$E$23:$E$26</c:f>
              <c:numCache>
                <c:formatCode>General</c:formatCode>
                <c:ptCount val="4"/>
                <c:pt idx="0">
                  <c:v>0.8666666666666667</c:v>
                </c:pt>
                <c:pt idx="1">
                  <c:v>1</c:v>
                </c:pt>
                <c:pt idx="2">
                  <c:v>0.73333333333333328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F1-4E63-987A-C607A9BD7843}"/>
            </c:ext>
          </c:extLst>
        </c:ser>
        <c:ser>
          <c:idx val="2"/>
          <c:order val="2"/>
          <c:tx>
            <c:strRef>
              <c:f>angle_s2!$F$22</c:f>
              <c:strCache>
                <c:ptCount val="1"/>
                <c:pt idx="0">
                  <c:v>KNN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angle_s2!$C$23:$C$26</c:f>
              <c:strCache>
                <c:ptCount val="4"/>
                <c:pt idx="0">
                  <c:v>B</c:v>
                </c:pt>
                <c:pt idx="1">
                  <c:v>R</c:v>
                </c:pt>
                <c:pt idx="2">
                  <c:v>U</c:v>
                </c:pt>
                <c:pt idx="3">
                  <c:v>W</c:v>
                </c:pt>
              </c:strCache>
            </c:strRef>
          </c:cat>
          <c:val>
            <c:numRef>
              <c:f>angle_s2!$F$23:$F$26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0.13333333333333333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F1-4E63-987A-C607A9BD7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9439007"/>
        <c:axId val="1840381119"/>
      </c:barChart>
      <c:catAx>
        <c:axId val="1839439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Alphabet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8240116469816274"/>
              <c:y val="0.851191374357557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0381119"/>
        <c:crosses val="autoZero"/>
        <c:auto val="1"/>
        <c:lblAlgn val="ctr"/>
        <c:lblOffset val="100"/>
        <c:noMultiLvlLbl val="0"/>
      </c:catAx>
      <c:valAx>
        <c:axId val="184038111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Accuracy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943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464820</xdr:colOff>
      <xdr:row>19</xdr:row>
      <xdr:rowOff>87630</xdr:rowOff>
    </xdr:from>
    <xdr:to>
      <xdr:col>15</xdr:col>
      <xdr:colOff>464820</xdr:colOff>
      <xdr:row>35</xdr:row>
      <xdr:rowOff>106680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C1B9677-6E68-4049-80A3-BEFA54BEC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topLeftCell="A10" workbookViewId="0">
      <selection activeCell="S26" sqref="S26"/>
    </sheetView>
  </sheetViews>
  <sheetFormatPr defaultRowHeight="13.8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13</v>
      </c>
      <c r="D2" t="s">
        <v>12</v>
      </c>
      <c r="E2" t="s">
        <v>12</v>
      </c>
      <c r="F2" t="s">
        <v>12</v>
      </c>
      <c r="G2" t="s">
        <v>14</v>
      </c>
      <c r="H2" t="s">
        <v>14</v>
      </c>
      <c r="I2" t="s">
        <v>14</v>
      </c>
      <c r="J2" t="s">
        <v>15</v>
      </c>
      <c r="K2" t="s">
        <v>16</v>
      </c>
      <c r="L2" t="s">
        <v>16</v>
      </c>
    </row>
    <row r="3" spans="1:12" x14ac:dyDescent="0.25">
      <c r="A3" t="s">
        <v>12</v>
      </c>
      <c r="B3" t="s">
        <v>13</v>
      </c>
      <c r="C3" t="s">
        <v>13</v>
      </c>
      <c r="D3" t="s">
        <v>12</v>
      </c>
      <c r="E3" t="s">
        <v>12</v>
      </c>
      <c r="F3" t="s">
        <v>12</v>
      </c>
      <c r="G3" t="s">
        <v>14</v>
      </c>
      <c r="H3" t="s">
        <v>14</v>
      </c>
      <c r="I3" t="s">
        <v>14</v>
      </c>
      <c r="J3" t="s">
        <v>15</v>
      </c>
      <c r="K3" t="s">
        <v>16</v>
      </c>
      <c r="L3" t="s">
        <v>16</v>
      </c>
    </row>
    <row r="4" spans="1:12" x14ac:dyDescent="0.25">
      <c r="A4" t="s">
        <v>12</v>
      </c>
      <c r="B4" t="s">
        <v>13</v>
      </c>
      <c r="C4" t="s">
        <v>13</v>
      </c>
      <c r="D4" t="s">
        <v>12</v>
      </c>
      <c r="E4" t="s">
        <v>12</v>
      </c>
      <c r="F4" t="s">
        <v>12</v>
      </c>
      <c r="G4" t="s">
        <v>12</v>
      </c>
      <c r="H4" t="s">
        <v>17</v>
      </c>
      <c r="I4" t="s">
        <v>12</v>
      </c>
      <c r="J4" t="s">
        <v>14</v>
      </c>
      <c r="K4" t="s">
        <v>16</v>
      </c>
      <c r="L4" t="s">
        <v>16</v>
      </c>
    </row>
    <row r="5" spans="1:12" x14ac:dyDescent="0.25">
      <c r="A5" t="s">
        <v>12</v>
      </c>
      <c r="B5" t="s">
        <v>13</v>
      </c>
      <c r="C5" t="s">
        <v>13</v>
      </c>
      <c r="D5" t="s">
        <v>12</v>
      </c>
      <c r="E5" t="s">
        <v>12</v>
      </c>
      <c r="F5" t="s">
        <v>12</v>
      </c>
      <c r="G5" t="s">
        <v>14</v>
      </c>
      <c r="H5" t="s">
        <v>14</v>
      </c>
      <c r="I5" t="s">
        <v>12</v>
      </c>
      <c r="J5" t="s">
        <v>16</v>
      </c>
      <c r="K5" t="s">
        <v>16</v>
      </c>
      <c r="L5" t="s">
        <v>16</v>
      </c>
    </row>
    <row r="6" spans="1:12" x14ac:dyDescent="0.25">
      <c r="A6" t="s">
        <v>12</v>
      </c>
      <c r="B6" t="s">
        <v>13</v>
      </c>
      <c r="C6" t="s">
        <v>13</v>
      </c>
      <c r="D6" t="s">
        <v>12</v>
      </c>
      <c r="E6" t="s">
        <v>12</v>
      </c>
      <c r="F6" t="s">
        <v>12</v>
      </c>
      <c r="G6" t="s">
        <v>14</v>
      </c>
      <c r="H6" t="s">
        <v>14</v>
      </c>
      <c r="I6" t="s">
        <v>12</v>
      </c>
      <c r="J6" t="s">
        <v>16</v>
      </c>
      <c r="K6" t="s">
        <v>16</v>
      </c>
      <c r="L6" t="s">
        <v>16</v>
      </c>
    </row>
    <row r="7" spans="1:12" x14ac:dyDescent="0.25">
      <c r="A7" t="s">
        <v>12</v>
      </c>
      <c r="B7" t="s">
        <v>13</v>
      </c>
      <c r="C7" t="s">
        <v>13</v>
      </c>
      <c r="D7" t="s">
        <v>12</v>
      </c>
      <c r="E7" t="s">
        <v>12</v>
      </c>
      <c r="F7" t="s">
        <v>12</v>
      </c>
      <c r="G7" t="s">
        <v>14</v>
      </c>
      <c r="H7" t="s">
        <v>14</v>
      </c>
      <c r="I7" t="s">
        <v>18</v>
      </c>
      <c r="J7" t="s">
        <v>15</v>
      </c>
      <c r="K7" t="s">
        <v>16</v>
      </c>
      <c r="L7" t="s">
        <v>16</v>
      </c>
    </row>
    <row r="8" spans="1:12" x14ac:dyDescent="0.25">
      <c r="A8" t="s">
        <v>12</v>
      </c>
      <c r="B8" t="s">
        <v>13</v>
      </c>
      <c r="C8" t="s">
        <v>13</v>
      </c>
      <c r="D8" t="s">
        <v>12</v>
      </c>
      <c r="E8" t="s">
        <v>12</v>
      </c>
      <c r="F8" t="s">
        <v>12</v>
      </c>
      <c r="G8" t="s">
        <v>12</v>
      </c>
      <c r="H8" t="s">
        <v>17</v>
      </c>
      <c r="I8" t="s">
        <v>12</v>
      </c>
      <c r="J8" t="s">
        <v>16</v>
      </c>
      <c r="K8" t="s">
        <v>16</v>
      </c>
      <c r="L8" t="s">
        <v>16</v>
      </c>
    </row>
    <row r="9" spans="1:12" x14ac:dyDescent="0.25">
      <c r="A9" t="s">
        <v>12</v>
      </c>
      <c r="B9" t="s">
        <v>13</v>
      </c>
      <c r="C9" t="s">
        <v>13</v>
      </c>
      <c r="D9" t="s">
        <v>12</v>
      </c>
      <c r="E9" t="s">
        <v>12</v>
      </c>
      <c r="F9" t="s">
        <v>12</v>
      </c>
      <c r="G9" t="s">
        <v>12</v>
      </c>
      <c r="H9" t="s">
        <v>17</v>
      </c>
      <c r="I9" t="s">
        <v>17</v>
      </c>
      <c r="J9" t="s">
        <v>16</v>
      </c>
      <c r="K9" t="s">
        <v>16</v>
      </c>
      <c r="L9" t="s">
        <v>16</v>
      </c>
    </row>
    <row r="10" spans="1:12" x14ac:dyDescent="0.25">
      <c r="A10" t="s">
        <v>12</v>
      </c>
      <c r="B10" t="s">
        <v>13</v>
      </c>
      <c r="C10" t="s">
        <v>13</v>
      </c>
      <c r="D10" t="s">
        <v>12</v>
      </c>
      <c r="E10" t="s">
        <v>12</v>
      </c>
      <c r="F10" t="s">
        <v>12</v>
      </c>
      <c r="G10" t="s">
        <v>14</v>
      </c>
      <c r="H10" t="s">
        <v>14</v>
      </c>
      <c r="I10" t="s">
        <v>16</v>
      </c>
      <c r="J10" t="s">
        <v>15</v>
      </c>
      <c r="K10" t="s">
        <v>16</v>
      </c>
      <c r="L10" t="s">
        <v>16</v>
      </c>
    </row>
    <row r="11" spans="1:12" x14ac:dyDescent="0.25">
      <c r="A11" t="s">
        <v>12</v>
      </c>
      <c r="B11" t="s">
        <v>13</v>
      </c>
      <c r="C11" t="s">
        <v>13</v>
      </c>
      <c r="D11" t="s">
        <v>12</v>
      </c>
      <c r="E11" t="s">
        <v>12</v>
      </c>
      <c r="F11" t="s">
        <v>12</v>
      </c>
      <c r="G11" t="s">
        <v>14</v>
      </c>
      <c r="H11" t="s">
        <v>14</v>
      </c>
      <c r="I11" t="s">
        <v>12</v>
      </c>
      <c r="J11" t="s">
        <v>16</v>
      </c>
      <c r="K11" t="s">
        <v>16</v>
      </c>
      <c r="L11" t="s">
        <v>16</v>
      </c>
    </row>
    <row r="12" spans="1:12" x14ac:dyDescent="0.25">
      <c r="A12" t="s">
        <v>19</v>
      </c>
      <c r="B12" t="s">
        <v>19</v>
      </c>
      <c r="C12" t="s">
        <v>13</v>
      </c>
      <c r="D12" t="s">
        <v>12</v>
      </c>
      <c r="E12" t="s">
        <v>12</v>
      </c>
      <c r="F12" t="s">
        <v>12</v>
      </c>
      <c r="G12" t="s">
        <v>14</v>
      </c>
      <c r="H12" t="s">
        <v>17</v>
      </c>
      <c r="I12" t="s">
        <v>16</v>
      </c>
      <c r="J12" t="s">
        <v>16</v>
      </c>
      <c r="K12" t="s">
        <v>16</v>
      </c>
      <c r="L12" t="s">
        <v>16</v>
      </c>
    </row>
    <row r="13" spans="1:12" x14ac:dyDescent="0.25">
      <c r="A13" t="s">
        <v>20</v>
      </c>
      <c r="B13" t="s">
        <v>13</v>
      </c>
      <c r="C13" t="s">
        <v>13</v>
      </c>
      <c r="D13" t="s">
        <v>12</v>
      </c>
      <c r="E13" t="s">
        <v>12</v>
      </c>
      <c r="F13" t="s">
        <v>12</v>
      </c>
      <c r="G13" t="s">
        <v>14</v>
      </c>
      <c r="H13" t="s">
        <v>14</v>
      </c>
      <c r="I13" t="s">
        <v>12</v>
      </c>
      <c r="J13" t="s">
        <v>16</v>
      </c>
      <c r="K13" t="s">
        <v>16</v>
      </c>
      <c r="L13" t="s">
        <v>16</v>
      </c>
    </row>
    <row r="14" spans="1:12" x14ac:dyDescent="0.25">
      <c r="A14" t="s">
        <v>13</v>
      </c>
      <c r="B14" t="s">
        <v>13</v>
      </c>
      <c r="C14" t="s">
        <v>13</v>
      </c>
      <c r="D14" t="s">
        <v>12</v>
      </c>
      <c r="E14" t="s">
        <v>12</v>
      </c>
      <c r="F14" t="s">
        <v>12</v>
      </c>
      <c r="G14" t="s">
        <v>14</v>
      </c>
      <c r="H14" t="s">
        <v>14</v>
      </c>
      <c r="I14" t="s">
        <v>12</v>
      </c>
      <c r="J14" t="s">
        <v>16</v>
      </c>
      <c r="K14" t="s">
        <v>16</v>
      </c>
      <c r="L14" t="s">
        <v>16</v>
      </c>
    </row>
    <row r="15" spans="1:12" x14ac:dyDescent="0.25">
      <c r="A15" t="s">
        <v>12</v>
      </c>
      <c r="B15" t="s">
        <v>13</v>
      </c>
      <c r="C15" t="s">
        <v>13</v>
      </c>
      <c r="D15" t="s">
        <v>12</v>
      </c>
      <c r="E15" t="s">
        <v>12</v>
      </c>
      <c r="F15" t="s">
        <v>12</v>
      </c>
      <c r="G15" t="s">
        <v>14</v>
      </c>
      <c r="H15" t="s">
        <v>14</v>
      </c>
      <c r="I15" t="s">
        <v>12</v>
      </c>
      <c r="J15" t="s">
        <v>16</v>
      </c>
      <c r="K15" t="s">
        <v>16</v>
      </c>
      <c r="L15" t="s">
        <v>16</v>
      </c>
    </row>
    <row r="16" spans="1:12" x14ac:dyDescent="0.25">
      <c r="A16" t="s">
        <v>13</v>
      </c>
      <c r="B16" t="s">
        <v>19</v>
      </c>
      <c r="C16" t="s">
        <v>13</v>
      </c>
      <c r="D16" t="s">
        <v>12</v>
      </c>
      <c r="E16" t="s">
        <v>12</v>
      </c>
      <c r="F16" t="s">
        <v>12</v>
      </c>
      <c r="G16" t="s">
        <v>14</v>
      </c>
      <c r="H16" t="s">
        <v>14</v>
      </c>
      <c r="I16" t="s">
        <v>12</v>
      </c>
      <c r="J16" t="s">
        <v>16</v>
      </c>
      <c r="K16" t="s">
        <v>16</v>
      </c>
      <c r="L16" t="s">
        <v>16</v>
      </c>
    </row>
    <row r="18" spans="1:12" x14ac:dyDescent="0.25">
      <c r="A18">
        <f>COUNTIF(A2:A16,"B")/COUNTA(A2:A16)</f>
        <v>0.13333333333333333</v>
      </c>
      <c r="B18">
        <f t="shared" ref="B18:C18" si="0">COUNTIF(B2:B16,"B")/COUNTA(B2:B16)</f>
        <v>0.8666666666666667</v>
      </c>
      <c r="C18">
        <f t="shared" si="0"/>
        <v>1</v>
      </c>
      <c r="D18">
        <f>COUNTIF(D2:D16,"R")/COUNTA(D2:D16)</f>
        <v>1</v>
      </c>
      <c r="E18">
        <f t="shared" ref="E18:F18" si="1">COUNTIF(E2:E16,"R")/COUNTA(E2:E16)</f>
        <v>1</v>
      </c>
      <c r="F18">
        <f t="shared" si="1"/>
        <v>1</v>
      </c>
      <c r="G18">
        <f>COUNTIF(G2:G16,"U")/COUNTA(G2:G16)</f>
        <v>0.8</v>
      </c>
      <c r="H18">
        <f t="shared" ref="H18:I18" si="2">COUNTIF(H2:H16,"U")/COUNTA(H2:H16)</f>
        <v>0.73333333333333328</v>
      </c>
      <c r="I18">
        <f t="shared" si="2"/>
        <v>0.13333333333333333</v>
      </c>
      <c r="J18">
        <f>COUNTIF(J2:J16,"W")/COUNTA(J2:J16)</f>
        <v>0.66666666666666663</v>
      </c>
      <c r="K18">
        <f t="shared" ref="K18:L18" si="3">COUNTIF(K2:K16,"W")/COUNTA(K2:K16)</f>
        <v>1</v>
      </c>
      <c r="L18">
        <f t="shared" si="3"/>
        <v>1</v>
      </c>
    </row>
    <row r="22" spans="1:12" x14ac:dyDescent="0.25">
      <c r="D22" t="s">
        <v>25</v>
      </c>
      <c r="E22" t="s">
        <v>26</v>
      </c>
      <c r="F22" t="s">
        <v>27</v>
      </c>
    </row>
    <row r="23" spans="1:12" x14ac:dyDescent="0.25">
      <c r="C23" t="s">
        <v>21</v>
      </c>
      <c r="D23">
        <v>0.13333333333333333</v>
      </c>
      <c r="E23">
        <v>0.8666666666666667</v>
      </c>
      <c r="F23">
        <v>1</v>
      </c>
    </row>
    <row r="24" spans="1:12" x14ac:dyDescent="0.25">
      <c r="C24" t="s">
        <v>22</v>
      </c>
      <c r="D24">
        <v>1</v>
      </c>
      <c r="E24">
        <v>1</v>
      </c>
      <c r="F24">
        <v>1</v>
      </c>
    </row>
    <row r="25" spans="1:12" x14ac:dyDescent="0.25">
      <c r="C25" t="s">
        <v>23</v>
      </c>
      <c r="D25">
        <v>0.8</v>
      </c>
      <c r="E25">
        <v>0.73333333333333328</v>
      </c>
      <c r="F25">
        <v>0.13333333333333333</v>
      </c>
    </row>
    <row r="26" spans="1:12" x14ac:dyDescent="0.25">
      <c r="C26" t="s">
        <v>24</v>
      </c>
      <c r="D26">
        <v>0.66666666666666663</v>
      </c>
      <c r="E26">
        <v>1</v>
      </c>
      <c r="F26">
        <v>1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angle_s2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Lee</dc:creator>
  <cp:lastModifiedBy>Michael Lee</cp:lastModifiedBy>
  <dcterms:created xsi:type="dcterms:W3CDTF">2025-11-07T05:39:08Z</dcterms:created>
  <dcterms:modified xsi:type="dcterms:W3CDTF">2025-11-07T05:43:00Z</dcterms:modified>
</cp:coreProperties>
</file>