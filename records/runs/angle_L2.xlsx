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2025_Y4_S2\AMME5710\Major\records\runs\"/>
    </mc:Choice>
  </mc:AlternateContent>
  <xr:revisionPtr revIDLastSave="0" documentId="13_ncr:1_{8E4FB505-6447-4E55-8DC1-088889527F04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angle_L2" sheetId="1" r:id="rId1"/>
  </sheets>
  <calcPr calcId="191029"/>
</workbook>
</file>

<file path=xl/calcChain.xml><?xml version="1.0" encoding="utf-8"?>
<calcChain xmlns="http://schemas.openxmlformats.org/spreadsheetml/2006/main">
  <c r="L18" i="1" l="1"/>
  <c r="K18" i="1"/>
  <c r="J18" i="1"/>
  <c r="I18" i="1"/>
  <c r="H18" i="1"/>
  <c r="G18" i="1"/>
  <c r="F18" i="1"/>
  <c r="E18" i="1"/>
  <c r="D18" i="1"/>
  <c r="C18" i="1"/>
  <c r="B18" i="1"/>
  <c r="A18" i="1"/>
</calcChain>
</file>

<file path=xl/sharedStrings.xml><?xml version="1.0" encoding="utf-8"?>
<sst xmlns="http://schemas.openxmlformats.org/spreadsheetml/2006/main" count="199" uniqueCount="27">
  <si>
    <t>CNN_R1</t>
  </si>
  <si>
    <t>SVM_R1</t>
  </si>
  <si>
    <t>KNN_R1</t>
  </si>
  <si>
    <t>CNN_R2</t>
  </si>
  <si>
    <t>SVM_R2</t>
  </si>
  <si>
    <t>KNN_R2</t>
  </si>
  <si>
    <t>CNN_R3</t>
  </si>
  <si>
    <t>SVM_R3</t>
  </si>
  <si>
    <t>KNN_R3</t>
  </si>
  <si>
    <t>CNN_R4</t>
  </si>
  <si>
    <t>SVM_R4</t>
  </si>
  <si>
    <t>KNN_R4</t>
  </si>
  <si>
    <t>B</t>
  </si>
  <si>
    <t>R</t>
  </si>
  <si>
    <t>U</t>
  </si>
  <si>
    <t>W</t>
  </si>
  <si>
    <t>L</t>
  </si>
  <si>
    <t>V</t>
  </si>
  <si>
    <t>D</t>
  </si>
  <si>
    <t>W</t>
    <phoneticPr fontId="18" type="noConversion"/>
  </si>
  <si>
    <t>B</t>
    <phoneticPr fontId="18" type="noConversion"/>
  </si>
  <si>
    <t>R</t>
    <phoneticPr fontId="18" type="noConversion"/>
  </si>
  <si>
    <t>U</t>
    <phoneticPr fontId="18" type="noConversion"/>
  </si>
  <si>
    <t>CNN</t>
    <phoneticPr fontId="18" type="noConversion"/>
  </si>
  <si>
    <t>SVM</t>
    <phoneticPr fontId="18" type="noConversion"/>
  </si>
  <si>
    <t>KNN</t>
    <phoneticPr fontId="18" type="noConversion"/>
  </si>
  <si>
    <t>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</si>
</sst>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  <font>
      <sz val="9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Qualitification Analysis - Large Angle Left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401159230096238"/>
          <c:y val="0.17171296296296296"/>
          <c:w val="0.86543285214348209"/>
          <c:h val="0.59088692038495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angle_L2!$C$21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angle_L2!$B$22:$B$25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angle_L2!$C$22:$C$25</c:f>
              <c:numCache>
                <c:formatCode>General</c:formatCode>
                <c:ptCount val="4"/>
                <c:pt idx="0">
                  <c:v>0.2</c:v>
                </c:pt>
                <c:pt idx="1">
                  <c:v>1</c:v>
                </c:pt>
                <c:pt idx="2">
                  <c:v>0</c:v>
                </c:pt>
                <c:pt idx="3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A-4B46-8984-1C933518CBE6}"/>
            </c:ext>
          </c:extLst>
        </c:ser>
        <c:ser>
          <c:idx val="1"/>
          <c:order val="1"/>
          <c:tx>
            <c:strRef>
              <c:f>angle_L2!$D$21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angle_L2!$B$22:$B$25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angle_L2!$D$22:$D$25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0.26666666666666666</c:v>
                </c:pt>
                <c:pt idx="3">
                  <c:v>0.8666666666666667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A-4B46-8984-1C933518CBE6}"/>
            </c:ext>
          </c:extLst>
        </c:ser>
        <c:ser>
          <c:idx val="2"/>
          <c:order val="2"/>
          <c:tx>
            <c:strRef>
              <c:f>angle_L2!$E$21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angle_L2!$B$22:$B$25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angle_L2!$E$22:$E$25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0.13333333333333333</c:v>
                </c:pt>
                <c:pt idx="3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A-4B46-8984-1C933518C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870496"/>
        <c:axId val="567313008"/>
      </c:barChart>
      <c:catAx>
        <c:axId val="57187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Alphabet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7706124234470693"/>
              <c:y val="0.82833260425780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313008"/>
        <c:crosses val="autoZero"/>
        <c:auto val="1"/>
        <c:lblAlgn val="ctr"/>
        <c:lblOffset val="100"/>
        <c:noMultiLvlLbl val="0"/>
      </c:catAx>
      <c:valAx>
        <c:axId val="5673130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8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19</xdr:row>
      <xdr:rowOff>49530</xdr:rowOff>
    </xdr:from>
    <xdr:to>
      <xdr:col>13</xdr:col>
      <xdr:colOff>358140</xdr:colOff>
      <xdr:row>34</xdr:row>
      <xdr:rowOff>163830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64F5A2A-FA11-40C0-B22D-8789A8872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10" workbookViewId="0">
      <selection activeCell="P18" sqref="P18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14</v>
      </c>
      <c r="I2" t="s">
        <v>13</v>
      </c>
      <c r="J2" t="s">
        <v>13</v>
      </c>
      <c r="K2" t="s">
        <v>15</v>
      </c>
      <c r="L2" t="s">
        <v>15</v>
      </c>
    </row>
    <row r="3" spans="1:12" x14ac:dyDescent="0.25">
      <c r="A3" t="s">
        <v>12</v>
      </c>
      <c r="B3" t="s">
        <v>12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14</v>
      </c>
      <c r="I3" t="s">
        <v>13</v>
      </c>
      <c r="J3" t="s">
        <v>13</v>
      </c>
      <c r="K3" t="s">
        <v>16</v>
      </c>
      <c r="L3" t="s">
        <v>15</v>
      </c>
    </row>
    <row r="4" spans="1:12" x14ac:dyDescent="0.25">
      <c r="A4" t="s">
        <v>12</v>
      </c>
      <c r="B4" t="s">
        <v>12</v>
      </c>
      <c r="C4" t="s">
        <v>12</v>
      </c>
      <c r="D4" t="s">
        <v>13</v>
      </c>
      <c r="E4" t="s">
        <v>13</v>
      </c>
      <c r="F4" t="s">
        <v>13</v>
      </c>
      <c r="G4" t="s">
        <v>13</v>
      </c>
      <c r="H4" t="s">
        <v>17</v>
      </c>
      <c r="I4" t="s">
        <v>13</v>
      </c>
      <c r="J4" t="s">
        <v>19</v>
      </c>
      <c r="K4" t="s">
        <v>15</v>
      </c>
      <c r="L4" t="s">
        <v>15</v>
      </c>
    </row>
    <row r="5" spans="1:12" x14ac:dyDescent="0.25">
      <c r="A5" t="s">
        <v>13</v>
      </c>
      <c r="B5" t="s">
        <v>12</v>
      </c>
      <c r="C5" t="s">
        <v>12</v>
      </c>
      <c r="D5" t="s">
        <v>13</v>
      </c>
      <c r="E5" t="s">
        <v>13</v>
      </c>
      <c r="F5" t="s">
        <v>13</v>
      </c>
      <c r="G5" t="s">
        <v>13</v>
      </c>
      <c r="H5" t="s">
        <v>17</v>
      </c>
      <c r="I5" t="s">
        <v>13</v>
      </c>
      <c r="J5" t="s">
        <v>16</v>
      </c>
      <c r="K5" t="s">
        <v>15</v>
      </c>
      <c r="L5" t="s">
        <v>15</v>
      </c>
    </row>
    <row r="6" spans="1:12" x14ac:dyDescent="0.25">
      <c r="A6" t="s">
        <v>13</v>
      </c>
      <c r="B6" t="s">
        <v>12</v>
      </c>
      <c r="C6" t="s">
        <v>12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13</v>
      </c>
      <c r="J6" t="s">
        <v>16</v>
      </c>
      <c r="K6" t="s">
        <v>15</v>
      </c>
      <c r="L6" t="s">
        <v>15</v>
      </c>
    </row>
    <row r="7" spans="1:12" x14ac:dyDescent="0.25">
      <c r="A7" t="s">
        <v>13</v>
      </c>
      <c r="B7" t="s">
        <v>12</v>
      </c>
      <c r="C7" t="s">
        <v>12</v>
      </c>
      <c r="D7" t="s">
        <v>13</v>
      </c>
      <c r="E7" t="s">
        <v>13</v>
      </c>
      <c r="F7" t="s">
        <v>13</v>
      </c>
      <c r="G7" t="s">
        <v>13</v>
      </c>
      <c r="H7" t="s">
        <v>17</v>
      </c>
      <c r="I7" t="s">
        <v>13</v>
      </c>
      <c r="J7" t="s">
        <v>16</v>
      </c>
      <c r="K7" t="s">
        <v>15</v>
      </c>
      <c r="L7" t="s">
        <v>15</v>
      </c>
    </row>
    <row r="8" spans="1:12" x14ac:dyDescent="0.25">
      <c r="A8" t="s">
        <v>13</v>
      </c>
      <c r="B8" t="s">
        <v>12</v>
      </c>
      <c r="C8" t="s">
        <v>12</v>
      </c>
      <c r="D8" t="s">
        <v>13</v>
      </c>
      <c r="E8" t="s">
        <v>13</v>
      </c>
      <c r="F8" t="s">
        <v>13</v>
      </c>
      <c r="G8" t="s">
        <v>13</v>
      </c>
      <c r="H8" t="s">
        <v>17</v>
      </c>
      <c r="I8" t="s">
        <v>13</v>
      </c>
      <c r="J8" t="s">
        <v>16</v>
      </c>
      <c r="K8" t="s">
        <v>15</v>
      </c>
      <c r="L8" t="s">
        <v>15</v>
      </c>
    </row>
    <row r="9" spans="1:12" x14ac:dyDescent="0.25">
      <c r="A9" t="s">
        <v>13</v>
      </c>
      <c r="B9" t="s">
        <v>12</v>
      </c>
      <c r="C9" t="s">
        <v>12</v>
      </c>
      <c r="D9" t="s">
        <v>13</v>
      </c>
      <c r="E9" t="s">
        <v>13</v>
      </c>
      <c r="F9" t="s">
        <v>13</v>
      </c>
      <c r="G9" t="s">
        <v>13</v>
      </c>
      <c r="H9" t="s">
        <v>17</v>
      </c>
      <c r="I9" t="s">
        <v>13</v>
      </c>
      <c r="J9" t="s">
        <v>16</v>
      </c>
      <c r="K9" t="s">
        <v>15</v>
      </c>
      <c r="L9" t="s">
        <v>15</v>
      </c>
    </row>
    <row r="10" spans="1:12" x14ac:dyDescent="0.25">
      <c r="A10" t="s">
        <v>13</v>
      </c>
      <c r="B10" t="s">
        <v>12</v>
      </c>
      <c r="C10" t="s">
        <v>12</v>
      </c>
      <c r="D10" t="s">
        <v>13</v>
      </c>
      <c r="E10" t="s">
        <v>13</v>
      </c>
      <c r="F10" t="s">
        <v>13</v>
      </c>
      <c r="G10" t="s">
        <v>13</v>
      </c>
      <c r="H10" t="s">
        <v>17</v>
      </c>
      <c r="I10" t="s">
        <v>13</v>
      </c>
      <c r="J10" t="s">
        <v>16</v>
      </c>
      <c r="K10" t="s">
        <v>15</v>
      </c>
      <c r="L10" t="s">
        <v>15</v>
      </c>
    </row>
    <row r="11" spans="1:12" x14ac:dyDescent="0.25">
      <c r="A11" t="s">
        <v>13</v>
      </c>
      <c r="B11" t="s">
        <v>12</v>
      </c>
      <c r="C11" t="s">
        <v>12</v>
      </c>
      <c r="D11" t="s">
        <v>13</v>
      </c>
      <c r="E11" t="s">
        <v>13</v>
      </c>
      <c r="F11" t="s">
        <v>13</v>
      </c>
      <c r="G11" t="s">
        <v>13</v>
      </c>
      <c r="H11" t="s">
        <v>17</v>
      </c>
      <c r="I11" t="s">
        <v>13</v>
      </c>
      <c r="J11" t="s">
        <v>16</v>
      </c>
      <c r="K11" t="s">
        <v>15</v>
      </c>
      <c r="L11" t="s">
        <v>15</v>
      </c>
    </row>
    <row r="12" spans="1:12" x14ac:dyDescent="0.25">
      <c r="A12" t="s">
        <v>13</v>
      </c>
      <c r="B12" t="s">
        <v>26</v>
      </c>
      <c r="C12" t="s">
        <v>12</v>
      </c>
      <c r="D12" t="s">
        <v>13</v>
      </c>
      <c r="E12" t="s">
        <v>13</v>
      </c>
      <c r="F12" t="s">
        <v>13</v>
      </c>
      <c r="G12" t="s">
        <v>13</v>
      </c>
      <c r="H12" t="s">
        <v>17</v>
      </c>
      <c r="I12" t="s">
        <v>17</v>
      </c>
      <c r="J12" t="s">
        <v>16</v>
      </c>
      <c r="K12" t="s">
        <v>15</v>
      </c>
      <c r="L12" t="s">
        <v>15</v>
      </c>
    </row>
    <row r="13" spans="1:12" x14ac:dyDescent="0.25">
      <c r="A13" t="s">
        <v>14</v>
      </c>
      <c r="B13" t="s">
        <v>26</v>
      </c>
      <c r="C13" t="s">
        <v>12</v>
      </c>
      <c r="D13" t="s">
        <v>13</v>
      </c>
      <c r="E13" t="s">
        <v>13</v>
      </c>
      <c r="F13" t="s">
        <v>13</v>
      </c>
      <c r="G13" t="s">
        <v>13</v>
      </c>
      <c r="H13" t="s">
        <v>17</v>
      </c>
      <c r="I13" t="s">
        <v>13</v>
      </c>
      <c r="J13" t="s">
        <v>16</v>
      </c>
      <c r="K13" t="s">
        <v>16</v>
      </c>
      <c r="L13" t="s">
        <v>18</v>
      </c>
    </row>
    <row r="14" spans="1:12" x14ac:dyDescent="0.25">
      <c r="A14" t="s">
        <v>14</v>
      </c>
      <c r="B14" t="s">
        <v>12</v>
      </c>
      <c r="C14" t="s">
        <v>26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16</v>
      </c>
      <c r="K14" t="s">
        <v>15</v>
      </c>
      <c r="L14" t="s">
        <v>15</v>
      </c>
    </row>
    <row r="15" spans="1:12" x14ac:dyDescent="0.25">
      <c r="A15" t="s">
        <v>13</v>
      </c>
      <c r="B15" t="s">
        <v>12</v>
      </c>
      <c r="C15" t="s">
        <v>12</v>
      </c>
      <c r="D15" t="s">
        <v>13</v>
      </c>
      <c r="E15" t="s">
        <v>13</v>
      </c>
      <c r="F15" t="s">
        <v>13</v>
      </c>
      <c r="G15" t="s">
        <v>13</v>
      </c>
      <c r="H15" t="s">
        <v>17</v>
      </c>
      <c r="I15" t="s">
        <v>14</v>
      </c>
      <c r="J15" t="s">
        <v>16</v>
      </c>
      <c r="K15" t="s">
        <v>15</v>
      </c>
      <c r="L15" t="s">
        <v>15</v>
      </c>
    </row>
    <row r="16" spans="1:12" x14ac:dyDescent="0.25">
      <c r="A16" t="s">
        <v>13</v>
      </c>
      <c r="B16" t="s">
        <v>12</v>
      </c>
      <c r="C16" t="s">
        <v>12</v>
      </c>
      <c r="D16" t="s">
        <v>13</v>
      </c>
      <c r="E16" t="s">
        <v>13</v>
      </c>
      <c r="F16" t="s">
        <v>13</v>
      </c>
      <c r="G16" t="s">
        <v>13</v>
      </c>
      <c r="H16" t="s">
        <v>14</v>
      </c>
      <c r="I16" t="s">
        <v>14</v>
      </c>
      <c r="J16" t="s">
        <v>16</v>
      </c>
      <c r="K16" t="s">
        <v>15</v>
      </c>
      <c r="L16" t="s">
        <v>15</v>
      </c>
    </row>
    <row r="18" spans="1:12" x14ac:dyDescent="0.25">
      <c r="A18">
        <f>COUNTIF(A2:A16,"B")/COUNTA(A2:A16)</f>
        <v>0.2</v>
      </c>
      <c r="B18">
        <f t="shared" ref="B18:C18" si="0">COUNTIF(B2:B16,"B")/COUNTA(B2:B16)</f>
        <v>0.8666666666666667</v>
      </c>
      <c r="C18">
        <f t="shared" si="0"/>
        <v>0.93333333333333335</v>
      </c>
      <c r="D18">
        <f>COUNTIF(D2:D16,"R")/COUNTA(D2:D16)</f>
        <v>1</v>
      </c>
      <c r="E18">
        <f t="shared" ref="E18:F18" si="1">COUNTIF(E2:E16,"R")/COUNTA(E2:E16)</f>
        <v>1</v>
      </c>
      <c r="F18">
        <f t="shared" si="1"/>
        <v>1</v>
      </c>
      <c r="G18">
        <f>COUNTIF(G2:G16,"U")/COUNTA(G2:G16)</f>
        <v>0</v>
      </c>
      <c r="H18">
        <f t="shared" ref="H18:I18" si="2">COUNTIF(H2:H16,"U")/COUNTA(H2:H16)</f>
        <v>0.26666666666666666</v>
      </c>
      <c r="I18">
        <f t="shared" si="2"/>
        <v>0.13333333333333333</v>
      </c>
      <c r="J18">
        <f>COUNTIF(J2:J16,"W")/COUNTA(J2:J16)</f>
        <v>6.6666666666666666E-2</v>
      </c>
      <c r="K18">
        <f t="shared" ref="K18:L18" si="3">COUNTIF(K2:K16,"W")/COUNTA(K2:K16)</f>
        <v>0.8666666666666667</v>
      </c>
      <c r="L18">
        <f t="shared" si="3"/>
        <v>0.93333333333333335</v>
      </c>
    </row>
    <row r="21" spans="1:12" x14ac:dyDescent="0.25">
      <c r="C21" t="s">
        <v>23</v>
      </c>
      <c r="D21" t="s">
        <v>24</v>
      </c>
      <c r="E21" t="s">
        <v>25</v>
      </c>
    </row>
    <row r="22" spans="1:12" x14ac:dyDescent="0.25">
      <c r="B22" t="s">
        <v>20</v>
      </c>
      <c r="C22">
        <v>0.2</v>
      </c>
      <c r="D22">
        <v>1</v>
      </c>
      <c r="E22">
        <v>1</v>
      </c>
    </row>
    <row r="23" spans="1:12" x14ac:dyDescent="0.25">
      <c r="B23" t="s">
        <v>21</v>
      </c>
      <c r="C23">
        <v>1</v>
      </c>
      <c r="D23">
        <v>1</v>
      </c>
      <c r="E23">
        <v>1</v>
      </c>
    </row>
    <row r="24" spans="1:12" x14ac:dyDescent="0.25">
      <c r="B24" t="s">
        <v>22</v>
      </c>
      <c r="C24">
        <v>0</v>
      </c>
      <c r="D24">
        <v>0.26666666666666666</v>
      </c>
      <c r="E24">
        <v>0.13333333333333333</v>
      </c>
    </row>
    <row r="25" spans="1:12" x14ac:dyDescent="0.25">
      <c r="B25" t="s">
        <v>19</v>
      </c>
      <c r="C25">
        <v>6.6666666666666666E-2</v>
      </c>
      <c r="D25">
        <v>0.8666666666666667</v>
      </c>
      <c r="E25">
        <v>0.93333333333333335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angle_L2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Lee</dc:creator>
  <cp:lastModifiedBy>Michael Lee</cp:lastModifiedBy>
  <dcterms:created xsi:type="dcterms:W3CDTF">2025-11-07T05:27:11Z</dcterms:created>
  <dcterms:modified xsi:type="dcterms:W3CDTF">2025-11-07T05:47:46Z</dcterms:modified>
</cp:coreProperties>
</file>